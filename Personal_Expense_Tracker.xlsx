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tanvi\Desktop\Data Analytics\"/>
    </mc:Choice>
  </mc:AlternateContent>
  <bookViews>
    <workbookView xWindow="0" yWindow="0" windowWidth="23040" windowHeight="9072"/>
  </bookViews>
  <sheets>
    <sheet name="Dashboard" sheetId="7" r:id="rId1"/>
    <sheet name="Raw_Expenses" sheetId="3" r:id="rId2"/>
    <sheet name="Monthly_Summary" sheetId="6" r:id="rId3"/>
    <sheet name="Summary_Metrics" sheetId="5" r:id="rId4"/>
    <sheet name="Category Expense" sheetId="2" r:id="rId5"/>
    <sheet name="Needs_vs_Wants" sheetId="4" r:id="rId6"/>
  </sheets>
  <definedNames>
    <definedName name="Expenses">#REF!</definedName>
  </definedNames>
  <calcPr calcId="162913" iterate="1" concurrentCalc="0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2" i="6"/>
  <c r="B10" i="2"/>
  <c r="B23" i="2"/>
  <c r="B22" i="2"/>
  <c r="B21" i="2"/>
  <c r="B20" i="2"/>
  <c r="B19" i="2"/>
  <c r="B18" i="2"/>
  <c r="B17" i="2"/>
  <c r="H20" i="3"/>
  <c r="H19" i="3"/>
  <c r="H18" i="3"/>
  <c r="H17" i="3"/>
  <c r="H16" i="3"/>
  <c r="C5" i="4"/>
  <c r="B4" i="4"/>
  <c r="B3" i="4"/>
  <c r="E17" i="3"/>
  <c r="E16" i="3"/>
  <c r="C12" i="3"/>
  <c r="B21" i="3"/>
  <c r="B20" i="3"/>
  <c r="B16" i="3"/>
  <c r="B15" i="3"/>
  <c r="B19" i="3"/>
  <c r="B17" i="3"/>
  <c r="B18" i="3"/>
</calcChain>
</file>

<file path=xl/sharedStrings.xml><?xml version="1.0" encoding="utf-8"?>
<sst xmlns="http://schemas.openxmlformats.org/spreadsheetml/2006/main" count="159" uniqueCount="49">
  <si>
    <t>Food</t>
  </si>
  <si>
    <t>UPI</t>
  </si>
  <si>
    <t>Need</t>
  </si>
  <si>
    <t>Lunch</t>
  </si>
  <si>
    <t>Travel</t>
  </si>
  <si>
    <t>Cash</t>
  </si>
  <si>
    <t>Bus fare</t>
  </si>
  <si>
    <t>Education</t>
  </si>
  <si>
    <t>Online course</t>
  </si>
  <si>
    <t>Shopping</t>
  </si>
  <si>
    <t>Card</t>
  </si>
  <si>
    <t>Want</t>
  </si>
  <si>
    <t>Clothes</t>
  </si>
  <si>
    <t>Dinner</t>
  </si>
  <si>
    <t>Entertainment</t>
  </si>
  <si>
    <t>Movie</t>
  </si>
  <si>
    <t>Health</t>
  </si>
  <si>
    <t>Medicine</t>
  </si>
  <si>
    <t>Snacks</t>
  </si>
  <si>
    <t>Auto fare</t>
  </si>
  <si>
    <t>Others</t>
  </si>
  <si>
    <t>Gift</t>
  </si>
  <si>
    <t>Date</t>
  </si>
  <si>
    <t>Category</t>
  </si>
  <si>
    <t>Amount</t>
  </si>
  <si>
    <t>Payment_Mode</t>
  </si>
  <si>
    <t>Expense_Type</t>
  </si>
  <si>
    <t>Notes</t>
  </si>
  <si>
    <t>Total</t>
  </si>
  <si>
    <t>Category-wise Expense Summary</t>
  </si>
  <si>
    <t>Total_Amount</t>
  </si>
  <si>
    <t>Percent</t>
  </si>
  <si>
    <t>Metric</t>
  </si>
  <si>
    <t>Value</t>
  </si>
  <si>
    <t>Total Expenses</t>
  </si>
  <si>
    <t>Average Expenses</t>
  </si>
  <si>
    <t>Median Expense</t>
  </si>
  <si>
    <t>Highest Expense</t>
  </si>
  <si>
    <t>Lowest Expense</t>
  </si>
  <si>
    <r>
      <rPr>
        <b/>
        <sz val="16"/>
        <color theme="1"/>
        <rFont val="Cambria"/>
        <family val="1"/>
      </rPr>
      <t>Observations:</t>
    </r>
    <r>
      <rPr>
        <sz val="11"/>
        <color theme="1"/>
        <rFont val="Cambria"/>
        <family val="1"/>
      </rPr>
      <t xml:space="preserve">
Shopping has the highest expense (29.11%), indicating high discretionary spending.
Education is the second highest (17.12%), showing investment in self-development.
Travel contributes the least (7.19%) to total expenses.
Expenses are slightly skewed towards non-essential categories.</t>
    </r>
  </si>
  <si>
    <r>
      <rPr>
        <b/>
        <sz val="12"/>
        <color theme="1"/>
        <rFont val="Cambria"/>
        <family val="1"/>
      </rPr>
      <t>Needs vs Wants Analysis:</t>
    </r>
    <r>
      <rPr>
        <sz val="11"/>
        <color theme="1"/>
        <rFont val="Cambria"/>
        <family val="1"/>
      </rPr>
      <t xml:space="preserve">
Needs account for 46.92% of total expenses, covering essential spending.
Wants account for 53.08%, indicating higher discretionary expenses.
Spending on wants slightly exceeds needs, suggesting scope for better expense control.</t>
    </r>
  </si>
  <si>
    <r>
      <rPr>
        <b/>
        <sz val="11"/>
        <color theme="1"/>
        <rFont val="Cambria"/>
        <family val="1"/>
      </rPr>
      <t>Conclusion :</t>
    </r>
    <r>
      <rPr>
        <sz val="11"/>
        <color theme="1"/>
        <rFont val="Calibri"/>
        <family val="2"/>
        <scheme val="minor"/>
      </rPr>
      <t>The average expense (₹292) is higher than the median expense (₹225), indicating a right-skewed distribution caused by a few high-value expenses such as shopping (₹850). Most daily expenses are below the average.</t>
    </r>
  </si>
  <si>
    <t>Month</t>
  </si>
  <si>
    <t>Row Labels</t>
  </si>
  <si>
    <t>Grand Total</t>
  </si>
  <si>
    <t>Sum of Amount</t>
  </si>
  <si>
    <t>Jan-2026</t>
  </si>
  <si>
    <t>Personal Expense Analysis Dashboard – Excel</t>
  </si>
  <si>
    <r>
      <rPr>
        <b/>
        <sz val="12"/>
        <color theme="1"/>
        <rFont val="Cambria"/>
        <family val="1"/>
      </rPr>
      <t xml:space="preserve">Conclusion </t>
    </r>
    <r>
      <rPr>
        <sz val="12"/>
        <color theme="1"/>
        <rFont val="Cambria"/>
        <family val="1"/>
      </rPr>
      <t>- Monthly expense analysis reveals a total spend of ₹2,920, with shopping emerging as the highest cost driver, indicating significant discretionary expenditure. The average expense (₹292) exceeding the median (₹225) highlights a right-skewed spending pattern influenced by a few high-value transactions. Overall spending shows a slight dominance of wants over needs, identifying clear opportunities for budget optimization and better financial planning.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</si>
</sst>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0"/>
      <color rgb="FFFFFFFF"/>
      <name val="Cambria"/>
      <family val="1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b/>
      <sz val="12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/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/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3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0" fontId="1" fillId="0" borderId="7" xfId="0" applyNumberFormat="1" applyFont="1" applyBorder="1" applyAlignment="1">
      <alignment horizontal="center"/>
    </xf>
    <xf numFmtId="0" fontId="1" fillId="4" borderId="7" xfId="0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2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1" fillId="3" borderId="7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mbria"/>
        <scheme val="none"/>
      </font>
      <fill>
        <patternFill patternType="solid">
          <fgColor indexed="64"/>
          <bgColor rgb="FF35685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80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 sz="1200"/>
              <a:t>Category-wise Expense Summary</a:t>
            </a:r>
          </a:p>
        </c:rich>
      </c:tx>
      <c:layout>
        <c:manualLayout>
          <c:xMode val="edge"/>
          <c:yMode val="edge"/>
          <c:x val="0.12179900409645056"/>
          <c:y val="8.1249238183168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599398865464393"/>
          <c:y val="0.2840788840788841"/>
          <c:w val="0.69907172221751845"/>
          <c:h val="0.663011063011063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'Category Expense'!$B$2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Expense'!$A$3:$A$9</c:f>
              <c:strCache>
                <c:ptCount val="7"/>
                <c:pt idx="0">
                  <c:v>Shopping</c:v>
                </c:pt>
                <c:pt idx="1">
                  <c:v>Education</c:v>
                </c:pt>
                <c:pt idx="2">
                  <c:v>Food</c:v>
                </c:pt>
                <c:pt idx="3">
                  <c:v>Others</c:v>
                </c:pt>
                <c:pt idx="4">
                  <c:v>Entertainment</c:v>
                </c:pt>
                <c:pt idx="5">
                  <c:v>Health</c:v>
                </c:pt>
                <c:pt idx="6">
                  <c:v>Travel</c:v>
                </c:pt>
              </c:strCache>
            </c:strRef>
          </c:cat>
          <c:val>
            <c:numRef>
              <c:f>'Category Expense'!$B$3:$B$9</c:f>
              <c:numCache>
                <c:formatCode>General</c:formatCode>
                <c:ptCount val="7"/>
                <c:pt idx="0">
                  <c:v>850</c:v>
                </c:pt>
                <c:pt idx="1">
                  <c:v>500</c:v>
                </c:pt>
                <c:pt idx="2">
                  <c:v>410</c:v>
                </c:pt>
                <c:pt idx="3">
                  <c:v>400</c:v>
                </c:pt>
                <c:pt idx="4">
                  <c:v>300</c:v>
                </c:pt>
                <c:pt idx="5">
                  <c:v>250</c:v>
                </c:pt>
                <c:pt idx="6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1-47E9-890B-884BDBBB3D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25936879"/>
        <c:axId val="525943119"/>
      </c:barChart>
      <c:catAx>
        <c:axId val="52593687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25943119"/>
        <c:crosses val="autoZero"/>
        <c:auto val="1"/>
        <c:lblAlgn val="ctr"/>
        <c:lblOffset val="100"/>
        <c:noMultiLvlLbl val="0"/>
      </c:catAx>
      <c:valAx>
        <c:axId val="525943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593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IN"/>
              <a:t>Needs vs Wants Expense Distribution</a:t>
            </a:r>
            <a:endParaRPr lang="en-US"/>
          </a:p>
        </c:rich>
      </c:tx>
      <c:layout>
        <c:manualLayout>
          <c:xMode val="edge"/>
          <c:yMode val="edge"/>
          <c:x val="0.1224352282669211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Needs_vs_Wants!$B$2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86-40D9-9D75-CAAA11983A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86-40D9-9D75-CAAA11983AE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Needs_vs_Wants!$A$3:$A$4</c:f>
              <c:strCache>
                <c:ptCount val="2"/>
                <c:pt idx="0">
                  <c:v>Need</c:v>
                </c:pt>
                <c:pt idx="1">
                  <c:v>Want</c:v>
                </c:pt>
              </c:strCache>
            </c:strRef>
          </c:cat>
          <c:val>
            <c:numRef>
              <c:f>Needs_vs_Wants!$B$3:$B$4</c:f>
              <c:numCache>
                <c:formatCode>0.00%</c:formatCode>
                <c:ptCount val="2"/>
                <c:pt idx="0">
                  <c:v>0.46917808219178081</c:v>
                </c:pt>
                <c:pt idx="1">
                  <c:v>0.53082191780821919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86-40D9-9D75-CAAA11983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Expense 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599398865464393"/>
          <c:y val="0.2840788840788841"/>
          <c:w val="0.69907172221751845"/>
          <c:h val="0.663011063011063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'Category Expense'!$B$2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Expense'!$A$3:$A$9</c:f>
              <c:strCache>
                <c:ptCount val="7"/>
                <c:pt idx="0">
                  <c:v>Shopping</c:v>
                </c:pt>
                <c:pt idx="1">
                  <c:v>Education</c:v>
                </c:pt>
                <c:pt idx="2">
                  <c:v>Food</c:v>
                </c:pt>
                <c:pt idx="3">
                  <c:v>Others</c:v>
                </c:pt>
                <c:pt idx="4">
                  <c:v>Entertainment</c:v>
                </c:pt>
                <c:pt idx="5">
                  <c:v>Health</c:v>
                </c:pt>
                <c:pt idx="6">
                  <c:v>Travel</c:v>
                </c:pt>
              </c:strCache>
            </c:strRef>
          </c:cat>
          <c:val>
            <c:numRef>
              <c:f>'Category Expense'!$B$3:$B$9</c:f>
              <c:numCache>
                <c:formatCode>General</c:formatCode>
                <c:ptCount val="7"/>
                <c:pt idx="0">
                  <c:v>850</c:v>
                </c:pt>
                <c:pt idx="1">
                  <c:v>500</c:v>
                </c:pt>
                <c:pt idx="2">
                  <c:v>410</c:v>
                </c:pt>
                <c:pt idx="3">
                  <c:v>400</c:v>
                </c:pt>
                <c:pt idx="4">
                  <c:v>300</c:v>
                </c:pt>
                <c:pt idx="5">
                  <c:v>250</c:v>
                </c:pt>
                <c:pt idx="6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1-44AB-A182-9F346B39EF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5936879"/>
        <c:axId val="525943119"/>
      </c:barChart>
      <c:catAx>
        <c:axId val="52593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43119"/>
        <c:crosses val="autoZero"/>
        <c:auto val="1"/>
        <c:lblAlgn val="ctr"/>
        <c:lblOffset val="100"/>
        <c:noMultiLvlLbl val="0"/>
      </c:catAx>
      <c:valAx>
        <c:axId val="525943119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593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Expense'!$B$16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Expense'!$A$17:$A$23</c:f>
              <c:strCache>
                <c:ptCount val="7"/>
                <c:pt idx="0">
                  <c:v>Shopping</c:v>
                </c:pt>
                <c:pt idx="1">
                  <c:v>Education</c:v>
                </c:pt>
                <c:pt idx="2">
                  <c:v>Food</c:v>
                </c:pt>
                <c:pt idx="3">
                  <c:v>Others</c:v>
                </c:pt>
                <c:pt idx="4">
                  <c:v>Entertainment</c:v>
                </c:pt>
                <c:pt idx="5">
                  <c:v>Health</c:v>
                </c:pt>
                <c:pt idx="6">
                  <c:v>Travel</c:v>
                </c:pt>
              </c:strCache>
            </c:strRef>
          </c:cat>
          <c:val>
            <c:numRef>
              <c:f>'Category Expense'!$B$17:$B$23</c:f>
              <c:numCache>
                <c:formatCode>0.00%</c:formatCode>
                <c:ptCount val="7"/>
                <c:pt idx="0">
                  <c:v>0.2910958904109589</c:v>
                </c:pt>
                <c:pt idx="1">
                  <c:v>0.17123287671232876</c:v>
                </c:pt>
                <c:pt idx="2">
                  <c:v>0.1404109589041096</c:v>
                </c:pt>
                <c:pt idx="3">
                  <c:v>0.13698630136986301</c:v>
                </c:pt>
                <c:pt idx="4">
                  <c:v>0.10273972602739725</c:v>
                </c:pt>
                <c:pt idx="5">
                  <c:v>8.5616438356164379E-2</c:v>
                </c:pt>
                <c:pt idx="6">
                  <c:v>7.1917808219178078E-2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6-45BD-BDFE-78955C4B03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01490992"/>
        <c:axId val="1801488496"/>
      </c:barChart>
      <c:catAx>
        <c:axId val="18014909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488496"/>
        <c:crosses val="autoZero"/>
        <c:auto val="1"/>
        <c:lblAlgn val="ctr"/>
        <c:lblOffset val="100"/>
        <c:noMultiLvlLbl val="0"/>
      </c:catAx>
      <c:valAx>
        <c:axId val="180148849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180149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IN" sz="1440" b="0" i="0" u="none" strike="noStrike" baseline="0"/>
              <a:t>Needs vs Wants Expense Distribution</a:t>
            </a:r>
            <a:endParaRPr lang="en-US"/>
          </a:p>
        </c:rich>
      </c:tx>
      <c:layout>
        <c:manualLayout>
          <c:xMode val="edge"/>
          <c:yMode val="edge"/>
          <c:x val="0.1224352282669211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Needs_vs_Wants!$B$2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FC-4AC6-AA34-0574EB797F9F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9D-4E84-A8C6-6364448554E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Needs_vs_Wants!$A$3:$A$4</c:f>
              <c:strCache>
                <c:ptCount val="2"/>
                <c:pt idx="0">
                  <c:v>Need</c:v>
                </c:pt>
                <c:pt idx="1">
                  <c:v>Want</c:v>
                </c:pt>
              </c:strCache>
            </c:strRef>
          </c:cat>
          <c:val>
            <c:numRef>
              <c:f>Needs_vs_Wants!$B$3:$B$4</c:f>
              <c:numCache>
                <c:formatCode>0.00%</c:formatCode>
                <c:ptCount val="2"/>
                <c:pt idx="0">
                  <c:v>0.46917808219178081</c:v>
                </c:pt>
                <c:pt idx="1">
                  <c:v>0.53082191780821919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C-4AC6-AA34-0574EB797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IN"/>
              <a:t>Needs vs Wants Expense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Needs_vs_Wants!$F$2</c:f>
              <c:strCache>
                <c:ptCount val="1"/>
                <c:pt idx="0">
                  <c:v>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83-4609-9CAC-D9F0B67F0E47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83-4609-9CAC-D9F0B67F0E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Needs_vs_Wants!$E$3:$E$4</c:f>
              <c:strCache>
                <c:ptCount val="2"/>
                <c:pt idx="0">
                  <c:v>Need</c:v>
                </c:pt>
                <c:pt idx="1">
                  <c:v>Want</c:v>
                </c:pt>
              </c:strCache>
            </c:strRef>
          </c:cat>
          <c:val>
            <c:numRef>
              <c:f>Needs_vs_Wants!$F$3:$F$4</c:f>
              <c:numCache>
                <c:formatCode>General</c:formatCode>
                <c:ptCount val="2"/>
                <c:pt idx="0">
                  <c:v>1370</c:v>
                </c:pt>
                <c:pt idx="1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0-4771-928E-C8ED6FDED9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525780</xdr:colOff>
      <xdr:row>17</xdr:row>
      <xdr:rowOff>175260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373380</xdr:colOff>
      <xdr:row>19</xdr:row>
      <xdr:rowOff>15240</xdr:rowOff>
    </xdr:from>
    <xdr:to>
      <xdr:col>10</xdr:col>
      <xdr:colOff>289560</xdr:colOff>
      <xdr:row>35</xdr:row>
      <xdr:rowOff>53340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163830</xdr:rowOff>
    </xdr:from>
    <xdr:to>
      <xdr:col>10</xdr:col>
      <xdr:colOff>60960</xdr:colOff>
      <xdr:row>12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701040</xdr:colOff>
      <xdr:row>14</xdr:row>
      <xdr:rowOff>95250</xdr:rowOff>
    </xdr:from>
    <xdr:to>
      <xdr:col>10</xdr:col>
      <xdr:colOff>30480</xdr:colOff>
      <xdr:row>27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6</xdr:row>
      <xdr:rowOff>95250</xdr:rowOff>
    </xdr:from>
    <xdr:to>
      <xdr:col>3</xdr:col>
      <xdr:colOff>83820</xdr:colOff>
      <xdr:row>21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434340</xdr:colOff>
      <xdr:row>6</xdr:row>
      <xdr:rowOff>64770</xdr:rowOff>
    </xdr:from>
    <xdr:to>
      <xdr:col>6</xdr:col>
      <xdr:colOff>594360</xdr:colOff>
      <xdr:row>21</xdr:row>
      <xdr:rowOff>64770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nvi Ranade" refreshedDate="46062.96399837963" createdVersion="6" refreshedVersion="6" minRefreshableVersion="3" recordCount="10">
  <cacheSource type="worksheet">
    <worksheetSource name="Table1"/>
  </cacheSource>
  <cacheFields count="7">
    <cacheField name="Date" numFmtId="14">
      <sharedItems containsSemiMixedTypes="0" containsNonDate="0" containsDate="1" containsString="0" minDate="2026-01-15T00:00:00" maxDate="2026-01-20T00:00:00"/>
    </cacheField>
    <cacheField name="Category" numFmtId="0">
      <sharedItems/>
    </cacheField>
    <cacheField name="Amount" numFmtId="2">
      <sharedItems containsSemiMixedTypes="0" containsString="0" containsNumber="1" containsInteger="1" minValue="60" maxValue="850"/>
    </cacheField>
    <cacheField name="Payment_Mode" numFmtId="0">
      <sharedItems/>
    </cacheField>
    <cacheField name="Expense_Type" numFmtId="0">
      <sharedItems/>
    </cacheField>
    <cacheField name="Notes" numFmtId="0">
      <sharedItems/>
    </cacheField>
    <cacheField name="Month" numFmtId="0">
      <sharedItems count="1">
        <s v="Jan-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d v="2026-01-15T00:00:00"/>
    <s v="Food"/>
    <n v="120"/>
    <s v="UPI"/>
    <s v="Need"/>
    <s v="Lunch"/>
    <x v="0"/>
  </r>
  <r>
    <d v="2026-01-15T00:00:00"/>
    <s v="Travel"/>
    <n v="60"/>
    <s v="Cash"/>
    <s v="Need"/>
    <s v="Bus fare"/>
    <x v="0"/>
  </r>
  <r>
    <d v="2026-01-16T00:00:00"/>
    <s v="Education"/>
    <n v="500"/>
    <s v="UPI"/>
    <s v="Need"/>
    <s v="Online course"/>
    <x v="0"/>
  </r>
  <r>
    <d v="2026-01-16T00:00:00"/>
    <s v="Shopping"/>
    <n v="850"/>
    <s v="Card"/>
    <s v="Want"/>
    <s v="Clothes"/>
    <x v="0"/>
  </r>
  <r>
    <d v="2026-01-17T00:00:00"/>
    <s v="Food"/>
    <n v="200"/>
    <s v="UPI"/>
    <s v="Need"/>
    <s v="Dinner"/>
    <x v="0"/>
  </r>
  <r>
    <d v="2026-01-17T00:00:00"/>
    <s v="Entertainment"/>
    <n v="300"/>
    <s v="UPI"/>
    <s v="Want"/>
    <s v="Movie"/>
    <x v="0"/>
  </r>
  <r>
    <d v="2026-01-18T00:00:00"/>
    <s v="Health"/>
    <n v="250"/>
    <s v="Cash"/>
    <s v="Need"/>
    <s v="Medicine"/>
    <x v="0"/>
  </r>
  <r>
    <d v="2026-01-18T00:00:00"/>
    <s v="Food"/>
    <n v="90"/>
    <s v="Cash"/>
    <s v="Need"/>
    <s v="Snacks"/>
    <x v="0"/>
  </r>
  <r>
    <d v="2026-01-19T00:00:00"/>
    <s v="Travel"/>
    <n v="150"/>
    <s v="UPI"/>
    <s v="Need"/>
    <s v="Auto fare"/>
    <x v="0"/>
  </r>
  <r>
    <d v="2026-01-19T00:00:00"/>
    <s v="Others"/>
    <n v="400"/>
    <s v="Card"/>
    <s v="Want"/>
    <s v="Gif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B15" firstHeaderRow="1" firstDataRow="1" firstDataCol="1"/>
  <pivotFields count="7">
    <pivotField numFmtId="14" showAll="0"/>
    <pivotField showAll="0"/>
    <pivotField dataField="1" numFmtId="2"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6"/>
  </rowFields>
  <rowItems count="2">
    <i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11" totalsRowShown="0" headerRowDxfId="8" dataDxfId="7">
  <autoFilter ref="A1:G11"/>
  <tableColumns count="7">
    <tableColumn id="1" name="Date" dataDxfId="6"/>
    <tableColumn id="2" name="Category" dataDxfId="5"/>
    <tableColumn id="3" name="Amount" dataDxfId="4"/>
    <tableColumn id="4" name="Payment_Mode" dataDxfId="3"/>
    <tableColumn id="5" name="Expense_Type" dataDxfId="2"/>
    <tableColumn id="6" name="Notes" dataDxfId="1"/>
    <tableColumn id="7" name="Month" dataDxfId="0">
      <calculatedColumnFormula>TEXT(A2,"mmm-yyyy")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zoomScale="77" workbookViewId="0">
      <selection activeCell="P25" sqref="P25"/>
    </sheetView>
  </sheetViews>
  <sheetFormatPr defaultRowHeight="14.4" x14ac:dyDescent="0.3"/>
  <sheetData>
    <row r="1" spans="1:13" x14ac:dyDescent="0.3">
      <c r="A1" s="43" t="s">
        <v>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15.6" customHeight="1" x14ac:dyDescent="0.3">
      <c r="H3" s="41" t="s">
        <v>48</v>
      </c>
      <c r="I3" s="41"/>
      <c r="J3" s="41"/>
      <c r="K3" s="41"/>
      <c r="L3" s="41"/>
      <c r="M3" s="41"/>
    </row>
    <row r="4" spans="1:13" ht="14.4" customHeight="1" x14ac:dyDescent="0.3">
      <c r="H4" s="42"/>
      <c r="I4" s="42"/>
      <c r="J4" s="42"/>
      <c r="K4" s="42"/>
      <c r="L4" s="42"/>
      <c r="M4" s="42"/>
    </row>
    <row r="5" spans="1:13" ht="14.4" customHeight="1" x14ac:dyDescent="0.3">
      <c r="H5" s="42"/>
      <c r="I5" s="42"/>
      <c r="J5" s="42"/>
      <c r="K5" s="42"/>
      <c r="L5" s="42"/>
      <c r="M5" s="42"/>
    </row>
    <row r="6" spans="1:13" ht="14.4" customHeight="1" x14ac:dyDescent="0.3">
      <c r="H6" s="42"/>
      <c r="I6" s="42"/>
      <c r="J6" s="42"/>
      <c r="K6" s="42"/>
      <c r="L6" s="42"/>
      <c r="M6" s="42"/>
    </row>
    <row r="7" spans="1:13" ht="14.4" customHeight="1" x14ac:dyDescent="0.3">
      <c r="H7" s="42"/>
      <c r="I7" s="42"/>
      <c r="J7" s="42"/>
      <c r="K7" s="42"/>
      <c r="L7" s="42"/>
      <c r="M7" s="42"/>
    </row>
    <row r="8" spans="1:13" ht="14.4" customHeight="1" x14ac:dyDescent="0.3">
      <c r="H8" s="42"/>
      <c r="I8" s="42"/>
      <c r="J8" s="42"/>
      <c r="K8" s="42"/>
      <c r="L8" s="42"/>
      <c r="M8" s="42"/>
    </row>
    <row r="9" spans="1:13" ht="14.4" customHeight="1" x14ac:dyDescent="0.3">
      <c r="H9" s="42"/>
      <c r="I9" s="42"/>
      <c r="J9" s="42"/>
      <c r="K9" s="42"/>
      <c r="L9" s="42"/>
      <c r="M9" s="42"/>
    </row>
    <row r="10" spans="1:13" ht="14.4" customHeight="1" x14ac:dyDescent="0.3">
      <c r="H10" s="42"/>
      <c r="I10" s="42"/>
      <c r="J10" s="42"/>
      <c r="K10" s="42"/>
      <c r="L10" s="42"/>
      <c r="M10" s="42"/>
    </row>
    <row r="11" spans="1:13" ht="14.4" customHeight="1" x14ac:dyDescent="0.3">
      <c r="H11" s="42"/>
      <c r="I11" s="42"/>
      <c r="J11" s="42"/>
      <c r="K11" s="42"/>
      <c r="L11" s="42"/>
      <c r="M11" s="42"/>
    </row>
    <row r="12" spans="1:13" ht="14.4" customHeight="1" x14ac:dyDescent="0.3">
      <c r="H12" s="42"/>
      <c r="I12" s="42"/>
      <c r="J12" s="42"/>
      <c r="K12" s="42"/>
      <c r="L12" s="42"/>
      <c r="M12" s="42"/>
    </row>
    <row r="13" spans="1:13" ht="14.4" customHeight="1" x14ac:dyDescent="0.3">
      <c r="H13" s="42"/>
      <c r="I13" s="42"/>
      <c r="J13" s="42"/>
      <c r="K13" s="42"/>
      <c r="L13" s="42"/>
      <c r="M13" s="42"/>
    </row>
    <row r="14" spans="1:13" ht="14.4" customHeight="1" x14ac:dyDescent="0.3">
      <c r="H14" s="42"/>
      <c r="I14" s="42"/>
      <c r="J14" s="42"/>
      <c r="K14" s="42"/>
      <c r="L14" s="42"/>
      <c r="M14" s="42"/>
    </row>
    <row r="15" spans="1:13" ht="14.4" customHeight="1" x14ac:dyDescent="0.3">
      <c r="H15" s="42"/>
      <c r="I15" s="42"/>
      <c r="J15" s="42"/>
      <c r="K15" s="42"/>
      <c r="L15" s="42"/>
      <c r="M15" s="42"/>
    </row>
    <row r="16" spans="1:13" ht="14.4" customHeight="1" x14ac:dyDescent="0.3">
      <c r="H16" s="42"/>
      <c r="I16" s="42"/>
      <c r="J16" s="42"/>
      <c r="K16" s="42"/>
      <c r="L16" s="42"/>
      <c r="M16" s="42"/>
    </row>
    <row r="17" spans="8:13" ht="14.4" customHeight="1" x14ac:dyDescent="0.3">
      <c r="H17" s="42"/>
      <c r="I17" s="42"/>
      <c r="J17" s="42"/>
      <c r="K17" s="42"/>
      <c r="L17" s="42"/>
      <c r="M17" s="42"/>
    </row>
    <row r="18" spans="8:13" x14ac:dyDescent="0.3">
      <c r="H18" s="42"/>
      <c r="I18" s="42"/>
      <c r="J18" s="42"/>
      <c r="K18" s="42"/>
      <c r="L18" s="42"/>
      <c r="M18" s="42"/>
    </row>
  </sheetData>
  <mergeCells count="2">
    <mergeCell ref="H3:M18"/>
    <mergeCell ref="A1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sqref="A1:G11"/>
    </sheetView>
  </sheetViews>
  <sheetFormatPr defaultRowHeight="14.4" x14ac:dyDescent="0.3"/>
  <cols>
    <col min="1" max="1" width="14.77734375" customWidth="1"/>
    <col min="2" max="2" width="22.109375" customWidth="1"/>
    <col min="3" max="3" width="14.77734375" customWidth="1"/>
    <col min="4" max="4" width="16.44140625" customWidth="1"/>
    <col min="5" max="5" width="13.77734375" customWidth="1"/>
    <col min="6" max="6" width="12.88671875" bestFit="1" customWidth="1"/>
    <col min="7" max="7" width="18.6640625" customWidth="1"/>
    <col min="8" max="8" width="13" customWidth="1"/>
  </cols>
  <sheetData>
    <row r="1" spans="1:8" ht="15" thickBot="1" x14ac:dyDescent="0.35">
      <c r="A1" s="9" t="s">
        <v>22</v>
      </c>
      <c r="B1" s="10" t="s">
        <v>23</v>
      </c>
      <c r="C1" s="11" t="s">
        <v>24</v>
      </c>
      <c r="D1" s="10" t="s">
        <v>25</v>
      </c>
      <c r="E1" s="10" t="s">
        <v>26</v>
      </c>
      <c r="F1" s="12" t="s">
        <v>27</v>
      </c>
    </row>
    <row r="2" spans="1:8" x14ac:dyDescent="0.3">
      <c r="A2" s="1">
        <v>46037</v>
      </c>
      <c r="B2" s="2" t="s">
        <v>0</v>
      </c>
      <c r="C2" s="3">
        <v>120</v>
      </c>
      <c r="D2" s="2" t="s">
        <v>1</v>
      </c>
      <c r="E2" s="2" t="s">
        <v>2</v>
      </c>
      <c r="F2" s="4" t="s">
        <v>3</v>
      </c>
    </row>
    <row r="3" spans="1:8" x14ac:dyDescent="0.3">
      <c r="A3" s="5">
        <v>46037</v>
      </c>
      <c r="B3" s="6" t="s">
        <v>4</v>
      </c>
      <c r="C3" s="7">
        <v>60</v>
      </c>
      <c r="D3" s="6" t="s">
        <v>5</v>
      </c>
      <c r="E3" s="6" t="s">
        <v>2</v>
      </c>
      <c r="F3" s="8" t="s">
        <v>6</v>
      </c>
    </row>
    <row r="4" spans="1:8" x14ac:dyDescent="0.3">
      <c r="A4" s="1">
        <v>46038</v>
      </c>
      <c r="B4" s="2" t="s">
        <v>7</v>
      </c>
      <c r="C4" s="3">
        <v>500</v>
      </c>
      <c r="D4" s="2" t="s">
        <v>1</v>
      </c>
      <c r="E4" s="2" t="s">
        <v>2</v>
      </c>
      <c r="F4" s="4" t="s">
        <v>8</v>
      </c>
    </row>
    <row r="5" spans="1:8" x14ac:dyDescent="0.3">
      <c r="A5" s="5">
        <v>46038</v>
      </c>
      <c r="B5" s="6" t="s">
        <v>9</v>
      </c>
      <c r="C5" s="7">
        <v>850</v>
      </c>
      <c r="D5" s="6" t="s">
        <v>10</v>
      </c>
      <c r="E5" s="6" t="s">
        <v>11</v>
      </c>
      <c r="F5" s="8" t="s">
        <v>12</v>
      </c>
    </row>
    <row r="6" spans="1:8" x14ac:dyDescent="0.3">
      <c r="A6" s="1">
        <v>46039</v>
      </c>
      <c r="B6" s="2" t="s">
        <v>0</v>
      </c>
      <c r="C6" s="3">
        <v>200</v>
      </c>
      <c r="D6" s="2" t="s">
        <v>1</v>
      </c>
      <c r="E6" s="2" t="s">
        <v>2</v>
      </c>
      <c r="F6" s="4" t="s">
        <v>13</v>
      </c>
    </row>
    <row r="7" spans="1:8" x14ac:dyDescent="0.3">
      <c r="A7" s="5">
        <v>46039</v>
      </c>
      <c r="B7" s="6" t="s">
        <v>14</v>
      </c>
      <c r="C7" s="7">
        <v>300</v>
      </c>
      <c r="D7" s="6" t="s">
        <v>1</v>
      </c>
      <c r="E7" s="6" t="s">
        <v>11</v>
      </c>
      <c r="F7" s="8" t="s">
        <v>15</v>
      </c>
    </row>
    <row r="8" spans="1:8" x14ac:dyDescent="0.3">
      <c r="A8" s="1">
        <v>46040</v>
      </c>
      <c r="B8" s="2" t="s">
        <v>16</v>
      </c>
      <c r="C8" s="3">
        <v>250</v>
      </c>
      <c r="D8" s="2" t="s">
        <v>5</v>
      </c>
      <c r="E8" s="2" t="s">
        <v>2</v>
      </c>
      <c r="F8" s="4" t="s">
        <v>17</v>
      </c>
    </row>
    <row r="9" spans="1:8" x14ac:dyDescent="0.3">
      <c r="A9" s="5">
        <v>46040</v>
      </c>
      <c r="B9" s="6" t="s">
        <v>0</v>
      </c>
      <c r="C9" s="7">
        <v>90</v>
      </c>
      <c r="D9" s="6" t="s">
        <v>5</v>
      </c>
      <c r="E9" s="6" t="s">
        <v>2</v>
      </c>
      <c r="F9" s="8" t="s">
        <v>18</v>
      </c>
    </row>
    <row r="10" spans="1:8" x14ac:dyDescent="0.3">
      <c r="A10" s="1">
        <v>46041</v>
      </c>
      <c r="B10" s="2" t="s">
        <v>4</v>
      </c>
      <c r="C10" s="3">
        <v>150</v>
      </c>
      <c r="D10" s="2" t="s">
        <v>1</v>
      </c>
      <c r="E10" s="2" t="s">
        <v>2</v>
      </c>
      <c r="F10" s="4" t="s">
        <v>19</v>
      </c>
    </row>
    <row r="11" spans="1:8" x14ac:dyDescent="0.3">
      <c r="A11" s="5">
        <v>46041</v>
      </c>
      <c r="B11" s="6" t="s">
        <v>20</v>
      </c>
      <c r="C11" s="7">
        <v>400</v>
      </c>
      <c r="D11" s="6" t="s">
        <v>10</v>
      </c>
      <c r="E11" s="6" t="s">
        <v>11</v>
      </c>
      <c r="F11" s="8" t="s">
        <v>21</v>
      </c>
    </row>
    <row r="12" spans="1:8" x14ac:dyDescent="0.3">
      <c r="A12" s="16"/>
      <c r="B12" s="17"/>
      <c r="C12" s="18">
        <f>MEDIAN(C2:C11)</f>
        <v>225</v>
      </c>
      <c r="D12" s="17"/>
      <c r="E12" s="17"/>
      <c r="F12" s="17"/>
    </row>
    <row r="14" spans="1:8" x14ac:dyDescent="0.3">
      <c r="A14" s="19" t="s">
        <v>23</v>
      </c>
      <c r="B14" s="19" t="s">
        <v>28</v>
      </c>
    </row>
    <row r="15" spans="1:8" x14ac:dyDescent="0.3">
      <c r="A15" s="14" t="s">
        <v>0</v>
      </c>
      <c r="B15" s="26">
        <f>SUMIF(B2:B11,"Food",C2:C11)</f>
        <v>410</v>
      </c>
      <c r="D15" s="19" t="s">
        <v>26</v>
      </c>
      <c r="E15" s="19" t="s">
        <v>30</v>
      </c>
      <c r="G15" s="24" t="s">
        <v>32</v>
      </c>
      <c r="H15" s="22" t="s">
        <v>33</v>
      </c>
    </row>
    <row r="16" spans="1:8" x14ac:dyDescent="0.3">
      <c r="A16" s="14" t="s">
        <v>14</v>
      </c>
      <c r="B16" s="26">
        <f>SUMIF(B2:B11,"Entertainment",C2:C11)</f>
        <v>300</v>
      </c>
      <c r="D16" s="13" t="s">
        <v>2</v>
      </c>
      <c r="E16" s="26">
        <f>SUMIF(E2:E11,"Need",C2:C11)</f>
        <v>1370</v>
      </c>
      <c r="G16" s="21" t="s">
        <v>34</v>
      </c>
      <c r="H16" s="25">
        <f>SUM(C2:C11)</f>
        <v>2920</v>
      </c>
    </row>
    <row r="17" spans="1:8" x14ac:dyDescent="0.3">
      <c r="A17" s="14" t="s">
        <v>4</v>
      </c>
      <c r="B17" s="26">
        <f>SUMIF(B2:B11,"Travel",C2:C11)</f>
        <v>210</v>
      </c>
      <c r="D17" s="13" t="s">
        <v>11</v>
      </c>
      <c r="E17" s="26">
        <f>SUMIF(E2:E11,"Want",C2:C11)</f>
        <v>1550</v>
      </c>
      <c r="G17" s="21" t="s">
        <v>35</v>
      </c>
      <c r="H17" s="25">
        <f>AVERAGE(C2:C11)</f>
        <v>292</v>
      </c>
    </row>
    <row r="18" spans="1:8" x14ac:dyDescent="0.3">
      <c r="A18" s="14" t="s">
        <v>7</v>
      </c>
      <c r="B18" s="26">
        <f>SUMIF(B2:B11,"Education",C2:C11)</f>
        <v>500</v>
      </c>
      <c r="G18" s="21" t="s">
        <v>36</v>
      </c>
      <c r="H18" s="25">
        <f>MEDIAN(C2:C11)</f>
        <v>225</v>
      </c>
    </row>
    <row r="19" spans="1:8" x14ac:dyDescent="0.3">
      <c r="A19" s="14" t="s">
        <v>16</v>
      </c>
      <c r="B19" s="26">
        <f>SUMIF(B2:B11,"Health",C2:C11)</f>
        <v>250</v>
      </c>
      <c r="G19" s="21" t="s">
        <v>37</v>
      </c>
      <c r="H19" s="25">
        <f>MAX(C2:C11)</f>
        <v>850</v>
      </c>
    </row>
    <row r="20" spans="1:8" x14ac:dyDescent="0.3">
      <c r="A20" s="15" t="s">
        <v>9</v>
      </c>
      <c r="B20" s="26">
        <f>SUMIF(B2:B11,"Shopping",C2:C11)</f>
        <v>850</v>
      </c>
      <c r="G20" s="21" t="s">
        <v>38</v>
      </c>
      <c r="H20" s="25">
        <f>MIN(C2:C11)</f>
        <v>60</v>
      </c>
    </row>
    <row r="21" spans="1:8" x14ac:dyDescent="0.3">
      <c r="A21" s="15" t="s">
        <v>20</v>
      </c>
      <c r="B21" s="26">
        <f>SUMIF(B2:B11,"Others",C2:C11)</f>
        <v>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12" sqref="E12"/>
    </sheetView>
  </sheetViews>
  <sheetFormatPr defaultRowHeight="14.4" x14ac:dyDescent="0.3"/>
  <cols>
    <col min="1" max="1" width="11.21875" bestFit="1" customWidth="1"/>
    <col min="2" max="2" width="13.5546875" bestFit="1" customWidth="1"/>
    <col min="3" max="3" width="9.77734375" customWidth="1"/>
    <col min="4" max="4" width="15.88671875" customWidth="1"/>
    <col min="5" max="5" width="15.109375" customWidth="1"/>
    <col min="6" max="6" width="12.5546875" customWidth="1"/>
    <col min="7" max="7" width="14.44140625" customWidth="1"/>
  </cols>
  <sheetData>
    <row r="1" spans="1:7" x14ac:dyDescent="0.3">
      <c r="A1" s="29" t="s">
        <v>22</v>
      </c>
      <c r="B1" s="30" t="s">
        <v>23</v>
      </c>
      <c r="C1" s="31" t="s">
        <v>24</v>
      </c>
      <c r="D1" s="30" t="s">
        <v>25</v>
      </c>
      <c r="E1" s="30" t="s">
        <v>26</v>
      </c>
      <c r="F1" s="32" t="s">
        <v>27</v>
      </c>
      <c r="G1" s="28" t="s">
        <v>42</v>
      </c>
    </row>
    <row r="2" spans="1:7" x14ac:dyDescent="0.3">
      <c r="A2" s="33">
        <v>46037</v>
      </c>
      <c r="B2" s="34" t="s">
        <v>0</v>
      </c>
      <c r="C2" s="35">
        <v>120</v>
      </c>
      <c r="D2" s="34" t="s">
        <v>1</v>
      </c>
      <c r="E2" s="34" t="s">
        <v>2</v>
      </c>
      <c r="F2" s="34" t="s">
        <v>3</v>
      </c>
      <c r="G2" s="21" t="str">
        <f>TEXT(A2,"mmm-yyyy")</f>
        <v>Jan-2026</v>
      </c>
    </row>
    <row r="3" spans="1:7" x14ac:dyDescent="0.3">
      <c r="A3" s="36">
        <v>46037</v>
      </c>
      <c r="B3" s="21" t="s">
        <v>4</v>
      </c>
      <c r="C3" s="37">
        <v>60</v>
      </c>
      <c r="D3" s="21" t="s">
        <v>5</v>
      </c>
      <c r="E3" s="21" t="s">
        <v>2</v>
      </c>
      <c r="F3" s="21" t="s">
        <v>6</v>
      </c>
      <c r="G3" s="21" t="str">
        <f t="shared" ref="G3:G11" si="0">TEXT(A3,"mmm-yyyy")</f>
        <v>Jan-2026</v>
      </c>
    </row>
    <row r="4" spans="1:7" x14ac:dyDescent="0.3">
      <c r="A4" s="33">
        <v>46038</v>
      </c>
      <c r="B4" s="34" t="s">
        <v>7</v>
      </c>
      <c r="C4" s="35">
        <v>500</v>
      </c>
      <c r="D4" s="34" t="s">
        <v>1</v>
      </c>
      <c r="E4" s="34" t="s">
        <v>2</v>
      </c>
      <c r="F4" s="34" t="s">
        <v>8</v>
      </c>
      <c r="G4" s="21" t="str">
        <f t="shared" si="0"/>
        <v>Jan-2026</v>
      </c>
    </row>
    <row r="5" spans="1:7" x14ac:dyDescent="0.3">
      <c r="A5" s="36">
        <v>46038</v>
      </c>
      <c r="B5" s="21" t="s">
        <v>9</v>
      </c>
      <c r="C5" s="37">
        <v>850</v>
      </c>
      <c r="D5" s="21" t="s">
        <v>10</v>
      </c>
      <c r="E5" s="21" t="s">
        <v>11</v>
      </c>
      <c r="F5" s="21" t="s">
        <v>12</v>
      </c>
      <c r="G5" s="21" t="str">
        <f t="shared" si="0"/>
        <v>Jan-2026</v>
      </c>
    </row>
    <row r="6" spans="1:7" x14ac:dyDescent="0.3">
      <c r="A6" s="33">
        <v>46039</v>
      </c>
      <c r="B6" s="34" t="s">
        <v>0</v>
      </c>
      <c r="C6" s="35">
        <v>200</v>
      </c>
      <c r="D6" s="34" t="s">
        <v>1</v>
      </c>
      <c r="E6" s="34" t="s">
        <v>2</v>
      </c>
      <c r="F6" s="34" t="s">
        <v>13</v>
      </c>
      <c r="G6" s="21" t="str">
        <f t="shared" si="0"/>
        <v>Jan-2026</v>
      </c>
    </row>
    <row r="7" spans="1:7" x14ac:dyDescent="0.3">
      <c r="A7" s="36">
        <v>46039</v>
      </c>
      <c r="B7" s="21" t="s">
        <v>14</v>
      </c>
      <c r="C7" s="37">
        <v>300</v>
      </c>
      <c r="D7" s="21" t="s">
        <v>1</v>
      </c>
      <c r="E7" s="21" t="s">
        <v>11</v>
      </c>
      <c r="F7" s="21" t="s">
        <v>15</v>
      </c>
      <c r="G7" s="21" t="str">
        <f t="shared" si="0"/>
        <v>Jan-2026</v>
      </c>
    </row>
    <row r="8" spans="1:7" x14ac:dyDescent="0.3">
      <c r="A8" s="33">
        <v>46040</v>
      </c>
      <c r="B8" s="34" t="s">
        <v>16</v>
      </c>
      <c r="C8" s="35">
        <v>250</v>
      </c>
      <c r="D8" s="34" t="s">
        <v>5</v>
      </c>
      <c r="E8" s="34" t="s">
        <v>2</v>
      </c>
      <c r="F8" s="34" t="s">
        <v>17</v>
      </c>
      <c r="G8" s="21" t="str">
        <f t="shared" si="0"/>
        <v>Jan-2026</v>
      </c>
    </row>
    <row r="9" spans="1:7" x14ac:dyDescent="0.3">
      <c r="A9" s="36">
        <v>46040</v>
      </c>
      <c r="B9" s="21" t="s">
        <v>0</v>
      </c>
      <c r="C9" s="37">
        <v>90</v>
      </c>
      <c r="D9" s="21" t="s">
        <v>5</v>
      </c>
      <c r="E9" s="21" t="s">
        <v>2</v>
      </c>
      <c r="F9" s="21" t="s">
        <v>18</v>
      </c>
      <c r="G9" s="21" t="str">
        <f t="shared" si="0"/>
        <v>Jan-2026</v>
      </c>
    </row>
    <row r="10" spans="1:7" x14ac:dyDescent="0.3">
      <c r="A10" s="33">
        <v>46041</v>
      </c>
      <c r="B10" s="34" t="s">
        <v>4</v>
      </c>
      <c r="C10" s="35">
        <v>150</v>
      </c>
      <c r="D10" s="34" t="s">
        <v>1</v>
      </c>
      <c r="E10" s="34" t="s">
        <v>2</v>
      </c>
      <c r="F10" s="34" t="s">
        <v>19</v>
      </c>
      <c r="G10" s="21" t="str">
        <f t="shared" si="0"/>
        <v>Jan-2026</v>
      </c>
    </row>
    <row r="11" spans="1:7" x14ac:dyDescent="0.3">
      <c r="A11" s="36">
        <v>46041</v>
      </c>
      <c r="B11" s="21" t="s">
        <v>20</v>
      </c>
      <c r="C11" s="37">
        <v>400</v>
      </c>
      <c r="D11" s="21" t="s">
        <v>10</v>
      </c>
      <c r="E11" s="21" t="s">
        <v>11</v>
      </c>
      <c r="F11" s="21" t="s">
        <v>21</v>
      </c>
      <c r="G11" s="21" t="str">
        <f t="shared" si="0"/>
        <v>Jan-2026</v>
      </c>
    </row>
    <row r="13" spans="1:7" x14ac:dyDescent="0.3">
      <c r="A13" s="38" t="s">
        <v>43</v>
      </c>
      <c r="B13" t="s">
        <v>45</v>
      </c>
    </row>
    <row r="14" spans="1:7" x14ac:dyDescent="0.3">
      <c r="A14" s="39" t="s">
        <v>46</v>
      </c>
      <c r="B14" s="40">
        <v>2920</v>
      </c>
    </row>
    <row r="15" spans="1:7" x14ac:dyDescent="0.3">
      <c r="A15" s="39" t="s">
        <v>44</v>
      </c>
      <c r="B15" s="40">
        <v>2920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6" sqref="A6:B6"/>
    </sheetView>
  </sheetViews>
  <sheetFormatPr defaultRowHeight="14.4" x14ac:dyDescent="0.3"/>
  <cols>
    <col min="1" max="1" width="21.21875" customWidth="1"/>
    <col min="2" max="2" width="19.109375" customWidth="1"/>
  </cols>
  <sheetData>
    <row r="1" spans="1:8" x14ac:dyDescent="0.3">
      <c r="A1" s="24" t="s">
        <v>32</v>
      </c>
      <c r="B1" s="22" t="s">
        <v>33</v>
      </c>
      <c r="D1" s="44" t="s">
        <v>41</v>
      </c>
      <c r="E1" s="44"/>
      <c r="F1" s="44"/>
      <c r="G1" s="44"/>
      <c r="H1" s="44"/>
    </row>
    <row r="2" spans="1:8" x14ac:dyDescent="0.3">
      <c r="A2" s="21" t="s">
        <v>34</v>
      </c>
      <c r="B2" s="25">
        <v>2920</v>
      </c>
      <c r="D2" s="44"/>
      <c r="E2" s="44"/>
      <c r="F2" s="44"/>
      <c r="G2" s="44"/>
      <c r="H2" s="44"/>
    </row>
    <row r="3" spans="1:8" x14ac:dyDescent="0.3">
      <c r="A3" s="21" t="s">
        <v>35</v>
      </c>
      <c r="B3" s="25">
        <v>292</v>
      </c>
      <c r="D3" s="44"/>
      <c r="E3" s="44"/>
      <c r="F3" s="44"/>
      <c r="G3" s="44"/>
      <c r="H3" s="44"/>
    </row>
    <row r="4" spans="1:8" x14ac:dyDescent="0.3">
      <c r="A4" s="21" t="s">
        <v>36</v>
      </c>
      <c r="B4" s="25">
        <v>225</v>
      </c>
      <c r="D4" s="44"/>
      <c r="E4" s="44"/>
      <c r="F4" s="44"/>
      <c r="G4" s="44"/>
      <c r="H4" s="44"/>
    </row>
    <row r="5" spans="1:8" x14ac:dyDescent="0.3">
      <c r="A5" s="21" t="s">
        <v>37</v>
      </c>
      <c r="B5" s="25">
        <v>850</v>
      </c>
      <c r="D5" s="44"/>
      <c r="E5" s="44"/>
      <c r="F5" s="44"/>
      <c r="G5" s="44"/>
      <c r="H5" s="44"/>
    </row>
    <row r="6" spans="1:8" x14ac:dyDescent="0.3">
      <c r="A6" s="21" t="s">
        <v>38</v>
      </c>
      <c r="B6" s="25">
        <v>60</v>
      </c>
      <c r="D6" s="44"/>
      <c r="E6" s="44"/>
      <c r="F6" s="44"/>
      <c r="G6" s="44"/>
      <c r="H6" s="44"/>
    </row>
    <row r="7" spans="1:8" x14ac:dyDescent="0.3">
      <c r="D7" s="44"/>
      <c r="E7" s="44"/>
      <c r="F7" s="44"/>
      <c r="G7" s="44"/>
      <c r="H7" s="44"/>
    </row>
  </sheetData>
  <mergeCells count="1">
    <mergeCell ref="D1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opLeftCell="A4" zoomScale="89" workbookViewId="0">
      <selection activeCell="G13" sqref="G13"/>
    </sheetView>
  </sheetViews>
  <sheetFormatPr defaultRowHeight="14.4" x14ac:dyDescent="0.3"/>
  <cols>
    <col min="1" max="1" width="17.6640625" customWidth="1"/>
    <col min="2" max="2" width="13.77734375" customWidth="1"/>
    <col min="3" max="3" width="10.6640625" customWidth="1"/>
  </cols>
  <sheetData>
    <row r="1" spans="1:16" ht="25.2" customHeight="1" x14ac:dyDescent="0.3">
      <c r="A1" s="45" t="s">
        <v>29</v>
      </c>
      <c r="B1" s="45"/>
    </row>
    <row r="2" spans="1:16" ht="21" customHeight="1" x14ac:dyDescent="0.3">
      <c r="A2" s="19" t="s">
        <v>23</v>
      </c>
      <c r="B2" s="19" t="s">
        <v>28</v>
      </c>
    </row>
    <row r="3" spans="1:16" ht="21" customHeight="1" x14ac:dyDescent="0.3">
      <c r="A3" s="13" t="s">
        <v>9</v>
      </c>
      <c r="B3" s="13">
        <v>850</v>
      </c>
    </row>
    <row r="4" spans="1:16" ht="21" customHeight="1" x14ac:dyDescent="0.3">
      <c r="A4" s="13" t="s">
        <v>7</v>
      </c>
      <c r="B4" s="13">
        <v>500</v>
      </c>
      <c r="L4" s="46" t="s">
        <v>39</v>
      </c>
      <c r="M4" s="45"/>
      <c r="N4" s="45"/>
      <c r="O4" s="45"/>
      <c r="P4" s="45"/>
    </row>
    <row r="5" spans="1:16" ht="21" customHeight="1" x14ac:dyDescent="0.3">
      <c r="A5" s="13" t="s">
        <v>0</v>
      </c>
      <c r="B5" s="13">
        <v>410</v>
      </c>
      <c r="L5" s="45"/>
      <c r="M5" s="45"/>
      <c r="N5" s="45"/>
      <c r="O5" s="45"/>
      <c r="P5" s="45"/>
    </row>
    <row r="6" spans="1:16" ht="21" customHeight="1" x14ac:dyDescent="0.3">
      <c r="A6" s="13" t="s">
        <v>20</v>
      </c>
      <c r="B6" s="13">
        <v>400</v>
      </c>
      <c r="L6" s="45"/>
      <c r="M6" s="45"/>
      <c r="N6" s="45"/>
      <c r="O6" s="45"/>
      <c r="P6" s="45"/>
    </row>
    <row r="7" spans="1:16" ht="21" customHeight="1" x14ac:dyDescent="0.3">
      <c r="A7" s="13" t="s">
        <v>14</v>
      </c>
      <c r="B7" s="13">
        <v>300</v>
      </c>
      <c r="L7" s="45"/>
      <c r="M7" s="45"/>
      <c r="N7" s="45"/>
      <c r="O7" s="45"/>
      <c r="P7" s="45"/>
    </row>
    <row r="8" spans="1:16" ht="21" customHeight="1" x14ac:dyDescent="0.3">
      <c r="A8" s="13" t="s">
        <v>16</v>
      </c>
      <c r="B8" s="13">
        <v>250</v>
      </c>
      <c r="L8" s="45"/>
      <c r="M8" s="45"/>
      <c r="N8" s="45"/>
      <c r="O8" s="45"/>
      <c r="P8" s="45"/>
    </row>
    <row r="9" spans="1:16" ht="21" customHeight="1" x14ac:dyDescent="0.3">
      <c r="A9" s="13" t="s">
        <v>4</v>
      </c>
      <c r="B9" s="13">
        <v>210</v>
      </c>
      <c r="L9" s="45"/>
      <c r="M9" s="45"/>
      <c r="N9" s="45"/>
      <c r="O9" s="45"/>
      <c r="P9" s="45"/>
    </row>
    <row r="10" spans="1:16" ht="21" customHeight="1" x14ac:dyDescent="0.3">
      <c r="A10" s="20" t="s">
        <v>28</v>
      </c>
      <c r="B10" s="20">
        <f>SUM(B3:B9)</f>
        <v>2920</v>
      </c>
      <c r="L10" s="45"/>
      <c r="M10" s="45"/>
      <c r="N10" s="45"/>
      <c r="O10" s="45"/>
      <c r="P10" s="45"/>
    </row>
    <row r="11" spans="1:16" x14ac:dyDescent="0.3">
      <c r="L11" s="45"/>
      <c r="M11" s="45"/>
      <c r="N11" s="45"/>
      <c r="O11" s="45"/>
      <c r="P11" s="45"/>
    </row>
    <row r="12" spans="1:16" x14ac:dyDescent="0.3">
      <c r="L12" s="45"/>
      <c r="M12" s="45"/>
      <c r="N12" s="45"/>
      <c r="O12" s="45"/>
      <c r="P12" s="45"/>
    </row>
    <row r="13" spans="1:16" x14ac:dyDescent="0.3">
      <c r="L13" s="45"/>
      <c r="M13" s="45"/>
      <c r="N13" s="45"/>
      <c r="O13" s="45"/>
      <c r="P13" s="45"/>
    </row>
    <row r="14" spans="1:16" x14ac:dyDescent="0.3">
      <c r="L14" s="45"/>
      <c r="M14" s="45"/>
      <c r="N14" s="45"/>
      <c r="O14" s="45"/>
      <c r="P14" s="45"/>
    </row>
    <row r="15" spans="1:16" x14ac:dyDescent="0.3">
      <c r="L15" s="45"/>
      <c r="M15" s="45"/>
      <c r="N15" s="45"/>
      <c r="O15" s="45"/>
      <c r="P15" s="45"/>
    </row>
    <row r="16" spans="1:16" ht="19.95" customHeight="1" x14ac:dyDescent="0.3">
      <c r="A16" s="19" t="s">
        <v>23</v>
      </c>
      <c r="B16" s="19" t="s">
        <v>31</v>
      </c>
      <c r="L16" s="45"/>
      <c r="M16" s="45"/>
      <c r="N16" s="45"/>
      <c r="O16" s="45"/>
      <c r="P16" s="45"/>
    </row>
    <row r="17" spans="1:16" ht="19.95" customHeight="1" x14ac:dyDescent="0.3">
      <c r="A17" s="20" t="s">
        <v>9</v>
      </c>
      <c r="B17" s="27">
        <f>B3/B10</f>
        <v>0.2910958904109589</v>
      </c>
      <c r="L17" s="45"/>
      <c r="M17" s="45"/>
      <c r="N17" s="45"/>
      <c r="O17" s="45"/>
      <c r="P17" s="45"/>
    </row>
    <row r="18" spans="1:16" ht="19.95" customHeight="1" x14ac:dyDescent="0.3">
      <c r="A18" s="20" t="s">
        <v>7</v>
      </c>
      <c r="B18" s="27">
        <f>B4/B10</f>
        <v>0.17123287671232876</v>
      </c>
      <c r="L18" s="45"/>
      <c r="M18" s="45"/>
      <c r="N18" s="45"/>
      <c r="O18" s="45"/>
      <c r="P18" s="45"/>
    </row>
    <row r="19" spans="1:16" ht="19.95" customHeight="1" x14ac:dyDescent="0.3">
      <c r="A19" s="20" t="s">
        <v>0</v>
      </c>
      <c r="B19" s="27">
        <f>B5/B10</f>
        <v>0.1404109589041096</v>
      </c>
      <c r="L19" s="45"/>
      <c r="M19" s="45"/>
      <c r="N19" s="45"/>
      <c r="O19" s="45"/>
      <c r="P19" s="45"/>
    </row>
    <row r="20" spans="1:16" ht="19.95" customHeight="1" x14ac:dyDescent="0.3">
      <c r="A20" s="20" t="s">
        <v>20</v>
      </c>
      <c r="B20" s="27">
        <f>B6/B10</f>
        <v>0.13698630136986301</v>
      </c>
    </row>
    <row r="21" spans="1:16" ht="19.95" customHeight="1" x14ac:dyDescent="0.3">
      <c r="A21" s="20" t="s">
        <v>14</v>
      </c>
      <c r="B21" s="27">
        <f>B7/B10</f>
        <v>0.10273972602739725</v>
      </c>
    </row>
    <row r="22" spans="1:16" ht="19.95" customHeight="1" x14ac:dyDescent="0.3">
      <c r="A22" s="20" t="s">
        <v>16</v>
      </c>
      <c r="B22" s="27">
        <f>B8/B10</f>
        <v>8.5616438356164379E-2</v>
      </c>
    </row>
    <row r="23" spans="1:16" ht="19.95" customHeight="1" x14ac:dyDescent="0.3">
      <c r="A23" s="20" t="s">
        <v>4</v>
      </c>
      <c r="B23" s="27">
        <f>B9/B10</f>
        <v>7.1917808219178078E-2</v>
      </c>
    </row>
  </sheetData>
  <sortState ref="A2:B9">
    <sortCondition descending="1" ref="B2"/>
  </sortState>
  <mergeCells count="2">
    <mergeCell ref="A1:B1"/>
    <mergeCell ref="L4:P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"/>
  <sheetViews>
    <sheetView workbookViewId="0">
      <selection activeCell="L23" sqref="L23"/>
    </sheetView>
  </sheetViews>
  <sheetFormatPr defaultRowHeight="14.4" x14ac:dyDescent="0.3"/>
  <cols>
    <col min="1" max="1" width="15" customWidth="1"/>
    <col min="2" max="2" width="14.109375" customWidth="1"/>
    <col min="3" max="3" width="14.33203125" customWidth="1"/>
    <col min="5" max="5" width="13.44140625" bestFit="1" customWidth="1"/>
    <col min="6" max="6" width="13.33203125" bestFit="1" customWidth="1"/>
  </cols>
  <sheetData>
    <row r="2" spans="1:12" x14ac:dyDescent="0.3">
      <c r="A2" s="22" t="s">
        <v>26</v>
      </c>
      <c r="B2" s="22" t="s">
        <v>31</v>
      </c>
      <c r="C2" s="22" t="s">
        <v>30</v>
      </c>
      <c r="E2" s="19" t="s">
        <v>26</v>
      </c>
      <c r="F2" s="19" t="s">
        <v>30</v>
      </c>
    </row>
    <row r="3" spans="1:12" x14ac:dyDescent="0.3">
      <c r="A3" s="21" t="s">
        <v>2</v>
      </c>
      <c r="B3" s="23">
        <f>C3/C5</f>
        <v>0.46917808219178081</v>
      </c>
      <c r="C3" s="21">
        <v>1370</v>
      </c>
      <c r="E3" s="20" t="s">
        <v>2</v>
      </c>
      <c r="F3" s="20">
        <v>1370</v>
      </c>
    </row>
    <row r="4" spans="1:12" x14ac:dyDescent="0.3">
      <c r="A4" s="21" t="s">
        <v>11</v>
      </c>
      <c r="B4" s="23">
        <f>C4/C5</f>
        <v>0.53082191780821919</v>
      </c>
      <c r="C4" s="21">
        <v>1550</v>
      </c>
      <c r="E4" s="20" t="s">
        <v>11</v>
      </c>
      <c r="F4" s="20">
        <v>1550</v>
      </c>
      <c r="I4" s="46" t="s">
        <v>40</v>
      </c>
      <c r="J4" s="45"/>
      <c r="K4" s="45"/>
      <c r="L4" s="45"/>
    </row>
    <row r="5" spans="1:12" x14ac:dyDescent="0.3">
      <c r="A5" s="21" t="s">
        <v>28</v>
      </c>
      <c r="B5" s="21"/>
      <c r="C5" s="21">
        <f>C3+C4</f>
        <v>2920</v>
      </c>
      <c r="I5" s="45"/>
      <c r="J5" s="45"/>
      <c r="K5" s="45"/>
      <c r="L5" s="45"/>
    </row>
    <row r="6" spans="1:12" x14ac:dyDescent="0.3">
      <c r="I6" s="45"/>
      <c r="J6" s="45"/>
      <c r="K6" s="45"/>
      <c r="L6" s="45"/>
    </row>
    <row r="7" spans="1:12" x14ac:dyDescent="0.3">
      <c r="I7" s="45"/>
      <c r="J7" s="45"/>
      <c r="K7" s="45"/>
      <c r="L7" s="45"/>
    </row>
    <row r="8" spans="1:12" x14ac:dyDescent="0.3">
      <c r="I8" s="45"/>
      <c r="J8" s="45"/>
      <c r="K8" s="45"/>
      <c r="L8" s="45"/>
    </row>
    <row r="9" spans="1:12" x14ac:dyDescent="0.3">
      <c r="I9" s="45"/>
      <c r="J9" s="45"/>
      <c r="K9" s="45"/>
      <c r="L9" s="45"/>
    </row>
    <row r="10" spans="1:12" x14ac:dyDescent="0.3">
      <c r="I10" s="45"/>
      <c r="J10" s="45"/>
      <c r="K10" s="45"/>
      <c r="L10" s="45"/>
    </row>
    <row r="11" spans="1:12" x14ac:dyDescent="0.3">
      <c r="I11" s="45"/>
      <c r="J11" s="45"/>
      <c r="K11" s="45"/>
      <c r="L11" s="45"/>
    </row>
    <row r="12" spans="1:12" x14ac:dyDescent="0.3">
      <c r="I12" s="45"/>
      <c r="J12" s="45"/>
      <c r="K12" s="45"/>
      <c r="L12" s="45"/>
    </row>
    <row r="13" spans="1:12" x14ac:dyDescent="0.3">
      <c r="I13" s="45"/>
      <c r="J13" s="45"/>
      <c r="K13" s="45"/>
      <c r="L13" s="45"/>
    </row>
    <row r="14" spans="1:12" x14ac:dyDescent="0.3">
      <c r="I14" s="45"/>
      <c r="J14" s="45"/>
      <c r="K14" s="45"/>
      <c r="L14" s="45"/>
    </row>
    <row r="15" spans="1:12" x14ac:dyDescent="0.3">
      <c r="I15" s="45"/>
      <c r="J15" s="45"/>
      <c r="K15" s="45"/>
      <c r="L15" s="45"/>
    </row>
    <row r="16" spans="1:12" x14ac:dyDescent="0.3">
      <c r="I16" s="45"/>
      <c r="J16" s="45"/>
      <c r="K16" s="45"/>
      <c r="L16" s="45"/>
    </row>
    <row r="17" spans="9:12" x14ac:dyDescent="0.3">
      <c r="I17" s="45"/>
      <c r="J17" s="45"/>
      <c r="K17" s="45"/>
      <c r="L17" s="45"/>
    </row>
    <row r="18" spans="9:12" x14ac:dyDescent="0.3">
      <c r="I18" s="45"/>
      <c r="J18" s="45"/>
      <c r="K18" s="45"/>
      <c r="L18" s="45"/>
    </row>
    <row r="19" spans="9:12" x14ac:dyDescent="0.3">
      <c r="I19" s="45"/>
      <c r="J19" s="45"/>
      <c r="K19" s="45"/>
      <c r="L19" s="45"/>
    </row>
  </sheetData>
  <mergeCells count="1">
    <mergeCell ref="I4:L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Raw_Expenses</vt:lpstr>
      <vt:lpstr>Monthly_Summary</vt:lpstr>
      <vt:lpstr>Summary_Metrics</vt:lpstr>
      <vt:lpstr>Category Expense</vt:lpstr>
      <vt:lpstr>Needs_vs_Wants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Ranade</dc:creator>
  <cp:lastModifiedBy>Tanvi Ranade</cp:lastModifiedBy>
  <dcterms:created xsi:type="dcterms:W3CDTF">2026-01-21T17:42:37Z</dcterms:created>
  <dcterms:modified xsi:type="dcterms:W3CDTF">2026-02-12T16:39:40Z</dcterms:modified>
</cp:coreProperties>
</file>